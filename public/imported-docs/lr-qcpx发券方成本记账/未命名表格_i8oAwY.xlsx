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i8oAwY"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<sst xmlns="http://schemas.openxmlformats.org/spreadsheetml/2006/main" count="15" uniqueCount="15">
  <si>
    <t xml:space="preserve">  </t>
  </si>
  <si>
    <t xml:space="preserve">端</t>
  </si>
  <si>
    <t xml:space="preserve">核销口径支付券成本</t>
  </si>
  <si>
    <t xml:space="preserve">发券方口径支付券成本</t>
  </si>
  <si>
    <t xml:space="preserve">支付券成本diff</t>
  </si>
  <si>
    <t xml:space="preserve">核销口径结算券成本</t>
  </si>
  <si>
    <t xml:space="preserve">发券方口径结算券成本</t>
  </si>
  <si>
    <t xml:space="preserve">结算券成本diff</t>
  </si>
  <si>
    <t xml:space="preserve">IES</t>
  </si>
  <si>
    <t xml:space="preserve">独立端</t>
  </si>
  <si>
    <t xml:space="preserve">GIP</t>
  </si>
  <si>
    <t xml:space="preserve">穿山甲</t>
  </si>
  <si>
    <t xml:space="preserve">-</t>
  </si>
  <si>
    <t xml:space="preserve">猜喜</t>
  </si>
  <si>
    <t xml:space="preserve">搜索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</si>
</sst>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numFmt numFmtId="165" formatCode="0.00%"/>
  </numFmts>
  <fonts count="6">
    <font>
      <sz val="10"/>
      <color theme="1"/>
      <name val="Calibri"/>
      <family val="2"/>
      <scheme val="minor"/>
    </font>
    <font>
      <sz val="10"/>
      <color rgb="FF000000"/>
      <name val="Calibri"/>
      <family val="2"/>
      <scheme val="minor"/>
    </font>
    <font>
      <b val="1"/>
      <sz val="10"/>
      <color rgb="FFF54A45"/>
      <name val="Calibri"/>
      <family val="2"/>
      <scheme val="minor"/>
    </font>
    <font>
      <sz val="9"/>
      <color rgb="FF141414"/>
      <name val="Calibri"/>
      <family val="2"/>
      <scheme val="minor"/>
    </font>
    <font>
      <b val="1"/>
      <sz val="10"/>
      <color rgb="FF34C724"/>
      <name val="Calibri"/>
      <family val="2"/>
      <scheme val="minor"/>
    </font>
    <font>
      <sz val="10"/>
      <color rgb="FF000000"/>
      <name val="Calibri"/>
      <family val="2"/>
      <scheme val="minor"/>
    </font>
  </fonts>
  <fills count="3">
    <fill>
      <patternFill patternType="none">
        <fgColor/>
        <bgColor/>
      </patternFill>
    </fill>
    <fill>
      <patternFill patternType="gray125">
        <fgColor/>
        <bgColor/>
      </patternFill>
    </fill>
    <fill>
      <patternFill patternType="solid">
        <fgColor rgb="FFFBFBFC"/>
        <bgColor/>
      </patternFill>
    </fill>
  </fills>
  <borders count="2">
    <border>
      <left/>
      <right/>
      <top/>
      <bottom/>
      <diagonal/>
    </border>
    <border>
      <left style="medium">
        <color rgb="FFE1E4E8"/>
      </left>
      <right style="medium">
        <color rgb="FFE1E4E8"/>
      </right>
      <top style="medium">
        <color rgb="FFE1E4E8"/>
      </top>
      <bottom style="medium">
        <color rgb="FFE1E4E8"/>
      </bottom>
      <diagonal/>
    </border>
  </borders>
  <cellStyleXfs count="1">
    <xf numFmtId="0" fontId="0" fillId="0" borderId="0" applyNumberFormat="false" applyFont="false" applyFill="false" applyBorder="false" applyAlignment="true" applyProtection="false"/>
  </cellStyleXfs>
  <cellXfs count="9">
    <xf numFmtId="0" fontId="0" fillId="0" borderId="0" xfId="0" applyNumberFormat="false" applyFont="false" applyFill="false" applyBorder="false" applyAlignment="false" applyProtection="false">
      <alignment vertical="center"/>
    </xf>
    <xf numFmtId="0" fontId="1" fillId="0" borderId="0" xfId="0" applyNumberFormat="false" applyFont="true" applyFill="false" applyBorder="false" applyAlignment="true" applyProtection="false">
      <alignment horizontal="center" vertical="top" wrapText="true"/>
    </xf>
    <xf numFmtId="0" fontId="1" fillId="0" borderId="0" xfId="0" applyNumberFormat="false" applyFont="true" applyFill="false" applyBorder="false" applyAlignment="true" applyProtection="false">
      <alignment horizontal="center" vertical="top" wrapText="true"/>
    </xf>
    <xf numFmtId="164" fontId="1" fillId="0" borderId="0" xfId="0" applyNumberFormat="true" applyFont="true" applyFill="false" applyBorder="false" applyAlignment="true" applyProtection="false">
      <alignment horizontal="center" vertical="top" wrapText="true"/>
    </xf>
    <xf numFmtId="165" fontId="2" fillId="0" borderId="0" xfId="0" applyNumberFormat="true" applyFont="true" applyFill="false" applyBorder="false" applyAlignment="true" applyProtection="false">
      <alignment horizontal="center" vertical="center" wrapText="true"/>
    </xf>
    <xf numFmtId="164" fontId="3" fillId="0" borderId="1" xfId="0" applyNumberFormat="true" applyFont="true" applyFill="false" applyBorder="false" applyAlignment="true" applyProtection="false">
      <alignment horizontal="center" vertical="center" wrapText="true"/>
    </xf>
    <xf numFmtId="164" fontId="3" fillId="2" borderId="1" xfId="0" applyNumberFormat="true" applyFont="true" applyFill="true" applyBorder="false" applyAlignment="true" applyProtection="false">
      <alignment horizontal="center" vertical="center" wrapText="true"/>
    </xf>
    <xf numFmtId="165" fontId="4" fillId="0" borderId="0" xfId="0" applyNumberFormat="true" applyFont="true" applyFill="false" applyBorder="false" applyAlignment="true" applyProtection="false">
      <alignment horizontal="center" vertical="center" wrapText="true"/>
    </xf>
    <xf numFmtId="165" fontId="5" fillId="0" borderId="0" xfId="0" applyNumberFormat="true" applyFont="true" applyFill="false" applyBorder="false" applyAlignment="true" applyProtection="false">
      <alignment horizontal="center"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ustomWidth="true" max="2" min="2" width="17"/>
    <col customWidth="true" max="3" min="3" width="20"/>
    <col customWidth="true" max="5" min="4" width="18"/>
    <col customWidth="true" max="6" min="6" width="20"/>
    <col customWidth="true" max="7" min="7" width="26"/>
  </cols>
  <sheetData>
    <row r="1">
      <c r="A1" s="1" t="s">
        <v>1</v>
      </c>
      <c r="B1" s="1" t="s">
        <v>2</v>
      </c>
      <c r="C1" s="1" t="s">
        <v>3</v>
      </c>
      <c r="D1" s="2" t="s">
        <v>4</v>
      </c>
      <c r="E1" s="2" t="s">
        <v>5</v>
      </c>
      <c r="F1" s="2" t="s">
        <v>6</v>
      </c>
      <c r="G1" s="2" t="s">
        <v>7</v>
      </c>
    </row>
    <row r="2">
      <c r="A2" s="1" t="s">
        <v>8</v>
      </c>
      <c r="B2" s="3">
        <v>92672896.08</v>
      </c>
      <c r="C2" s="3">
        <v>92864314.92</v>
      </c>
      <c r="D2" s="4">
        <f t="shared" ref="D2:D7" si="0">C2/B2-1</f>
      </c>
      <c r="E2" s="5">
        <v>71743909</v>
      </c>
      <c r="F2" s="5">
        <v>72874528.219</v>
      </c>
      <c r="G2" s="4">
        <f t="shared" ref="G2:G4" si="1">F2/E2-1</f>
      </c>
    </row>
    <row r="3">
      <c r="A3" s="1" t="s">
        <v>9</v>
      </c>
      <c r="B3" s="3">
        <v>27153896.98</v>
      </c>
      <c r="C3" s="3">
        <v>28087038.18</v>
      </c>
      <c r="D3" s="4">
        <f t="shared" si="0"/>
      </c>
      <c r="E3" s="6">
        <v>20922079.2</v>
      </c>
      <c r="F3" s="6">
        <v>22041078.5155</v>
      </c>
      <c r="G3" s="4">
        <f t="shared" si="1"/>
      </c>
    </row>
    <row r="4">
      <c r="A4" s="1" t="s">
        <v>10</v>
      </c>
      <c r="B4" s="3">
        <v>24370412.9</v>
      </c>
      <c r="C4" s="3">
        <v>24162847.68</v>
      </c>
      <c r="D4" s="7">
        <f t="shared" si="0"/>
      </c>
      <c r="E4" s="5">
        <v>19067183</v>
      </c>
      <c r="F4" s="5">
        <v>18961601.4141</v>
      </c>
      <c r="G4" s="7">
        <f t="shared" si="1"/>
      </c>
    </row>
    <row r="5">
      <c r="A5" s="1" t="s">
        <v>11</v>
      </c>
      <c r="B5" s="3">
        <v>18221346.65</v>
      </c>
      <c r="C5" s="3">
        <v>17763803.22</v>
      </c>
      <c r="D5" s="7">
        <f t="shared" si="0"/>
      </c>
      <c r="E5" s="6">
        <v>1086710.09</v>
      </c>
      <c r="F5" s="6">
        <v>0</v>
      </c>
      <c r="G5" s="8" t="s">
        <v>12</v>
      </c>
    </row>
    <row r="6">
      <c r="A6" s="1" t="s">
        <v>13</v>
      </c>
      <c r="B6" s="3">
        <v>8760731.21</v>
      </c>
      <c r="C6" s="3">
        <v>8033687.14</v>
      </c>
      <c r="D6" s="7">
        <f t="shared" si="0"/>
      </c>
      <c r="E6" s="5">
        <v>6737426.82</v>
      </c>
      <c r="F6" s="5">
        <v>6304371.7136</v>
      </c>
      <c r="G6" s="7">
        <f t="shared" ref="G6:G7" si="2">F6/E6-1</f>
      </c>
    </row>
    <row r="7">
      <c r="A7" s="1" t="s">
        <v>14</v>
      </c>
      <c r="B7" s="3">
        <v>6030523.5</v>
      </c>
      <c r="C7" s="3">
        <v>4815242.15</v>
      </c>
      <c r="D7" s="7">
        <f t="shared" si="0"/>
      </c>
      <c r="E7" s="6">
        <v>4522528.94</v>
      </c>
      <c r="F7" s="6">
        <v>3778722.7553</v>
      </c>
      <c r="G7" s="7">
        <f t="shared" si="2"/>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